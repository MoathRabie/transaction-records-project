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hamod\Downloads\"/>
    </mc:Choice>
  </mc:AlternateContent>
  <xr:revisionPtr revIDLastSave="0" documentId="8_{40BDA621-26DA-4583-8A48-7335157196A1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1" sheetId="1" r:id="rId1"/>
    <sheet name="Cleaned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 a="1"/>
  <c r="M2" i="2" s="1"/>
  <c r="J2" i="2"/>
  <c r="L2" i="2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2" i="2"/>
  <c r="I1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2" i="2"/>
  <c r="J15" i="2" l="1"/>
  <c r="J14" i="2"/>
  <c r="J13" i="2"/>
  <c r="J12" i="2"/>
  <c r="J11" i="2"/>
  <c r="J10" i="2"/>
  <c r="J9" i="2"/>
  <c r="J8" i="2"/>
  <c r="J7" i="2"/>
  <c r="J6" i="2"/>
  <c r="J5" i="2"/>
  <c r="J4" i="2"/>
  <c r="J3" i="2"/>
  <c r="J16" i="2"/>
  <c r="A20" i="2" l="1" a="1"/>
  <c r="A20" i="2" s="1"/>
  <c r="I20" i="2" a="1"/>
  <c r="I2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<sst xmlns="http://schemas.openxmlformats.org/spreadsheetml/2006/main" count="201" uniqueCount="55">
  <si>
    <t>Transaction ID</t>
  </si>
  <si>
    <t>Customer Name</t>
  </si>
  <si>
    <t>Product</t>
  </si>
  <si>
    <t>Amount</t>
  </si>
  <si>
    <t>Date</t>
  </si>
  <si>
    <t>Status</t>
  </si>
  <si>
    <t>Source System</t>
  </si>
  <si>
    <t>T-1001</t>
  </si>
  <si>
    <t>Ali Al-Qahtani</t>
  </si>
  <si>
    <t>Laptop Pro</t>
  </si>
  <si>
    <t>Completed</t>
  </si>
  <si>
    <t>CRM</t>
  </si>
  <si>
    <t>T-1002</t>
  </si>
  <si>
    <t>Sara Bin Mohammed</t>
  </si>
  <si>
    <t>Office Chair</t>
  </si>
  <si>
    <t>ERP</t>
  </si>
  <si>
    <t>T-1003</t>
  </si>
  <si>
    <t>Khalid Al-Otaibi</t>
  </si>
  <si>
    <t>Headphones</t>
  </si>
  <si>
    <t>Pending</t>
  </si>
  <si>
    <t>T-1004</t>
  </si>
  <si>
    <t>Nora Al-Harbi</t>
  </si>
  <si>
    <t>Smart Watch</t>
  </si>
  <si>
    <t>Khalid Alotaibi</t>
  </si>
  <si>
    <t>T-1005</t>
  </si>
  <si>
    <t>Faisal Al-Dosari</t>
  </si>
  <si>
    <t>Printer</t>
  </si>
  <si>
    <t>Refunded</t>
  </si>
  <si>
    <t>T-1006</t>
  </si>
  <si>
    <t>Maha Al-Shehri</t>
  </si>
  <si>
    <t>Keyboard</t>
  </si>
  <si>
    <t>(Empty)</t>
  </si>
  <si>
    <t>T-1007</t>
  </si>
  <si>
    <t>Omar Bin Laden</t>
  </si>
  <si>
    <t>Webcam</t>
  </si>
  <si>
    <t>T-1008</t>
  </si>
  <si>
    <t>Reem Al-Zahrani</t>
  </si>
  <si>
    <t>Monitor</t>
  </si>
  <si>
    <t>T-1009</t>
  </si>
  <si>
    <t>Badr Al-Mutairi</t>
  </si>
  <si>
    <t>USB Hub</t>
  </si>
  <si>
    <t>Duplicate Type</t>
  </si>
  <si>
    <t>Composite Key</t>
  </si>
  <si>
    <t>Is Duplicated</t>
  </si>
  <si>
    <t>TID Count</t>
  </si>
  <si>
    <t>Duplication Risk</t>
  </si>
  <si>
    <t>Deduplicated Dataset</t>
  </si>
  <si>
    <t>Cross-System Duplicate</t>
  </si>
  <si>
    <t>Not a Duplicate</t>
  </si>
  <si>
    <t>Fuzzy Duplicate</t>
  </si>
  <si>
    <t>Temporal Duplicate</t>
  </si>
  <si>
    <t>Partial Duplicate</t>
  </si>
  <si>
    <t>Exact Duplicate</t>
  </si>
  <si>
    <t xml:space="preserve"> Duplicate Rows</t>
  </si>
  <si>
    <t>Clean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</si>
</sst>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i/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  <font>
      <b/>
      <sz val="11"/>
      <color rgb="FF1F1F1F"/>
      <name val="Aptos Display"/>
      <scheme val="major"/>
    </font>
    <font>
      <sz val="11"/>
      <color rgb="FF1F1F1F"/>
      <name val="Aptos Display"/>
      <scheme val="major"/>
    </font>
    <font>
      <i/>
      <sz val="11"/>
      <color rgb="FF1F1F1F"/>
      <name val="Aptos Display"/>
      <scheme val="major"/>
    </font>
    <font>
      <b/>
      <sz val="12"/>
      <color rgb="FF000000"/>
      <name val="Aptos Display"/>
      <scheme val="major"/>
    </font>
    <font>
      <b/>
      <sz val="12"/>
      <color theme="1"/>
      <name val="Aptos Display"/>
      <scheme val="major"/>
    </font>
    <font>
      <b/>
      <sz val="14"/>
      <color rgb="FF000000"/>
      <name val="Aptos Narrow"/>
    </font>
    <font>
      <b/>
      <sz val="16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8"/>
      <color rgb="FF000000"/>
      <name val="Aptos Narrow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horizontal="center" readingOrder="1"/>
    </xf>
    <xf numFmtId="14" fontId="2" fillId="0" borderId="0" xfId="0" applyNumberFormat="1" applyFont="1" applyAlignment="1">
      <alignment horizontal="center" readingOrder="1"/>
    </xf>
    <xf numFmtId="0" fontId="3" fillId="0" borderId="0" xfId="0" applyFont="1" applyAlignment="1">
      <alignment horizontal="center" readingOrder="1"/>
    </xf>
    <xf numFmtId="0" fontId="4" fillId="0" borderId="0" xfId="0" applyFont="1"/>
    <xf numFmtId="0" fontId="13" fillId="0" borderId="0" xfId="0" applyFont="1" applyBorder="1" applyAlignment="1"/>
    <xf numFmtId="0" fontId="0" fillId="0" borderId="0" xfId="0" applyBorder="1"/>
    <xf numFmtId="0" fontId="14" fillId="0" borderId="0" xfId="0" applyFont="1" applyBorder="1" applyAlignment="1">
      <alignment wrapText="1"/>
    </xf>
    <xf numFmtId="0" fontId="0" fillId="0" borderId="0" xfId="0" applyBorder="1" applyAlignment="1"/>
    <xf numFmtId="0" fontId="5" fillId="0" borderId="0" xfId="0" applyFont="1" applyBorder="1" applyAlignment="1">
      <alignment horizontal="center" readingOrder="1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readingOrder="1"/>
    </xf>
    <xf numFmtId="14" fontId="6" fillId="0" borderId="0" xfId="0" applyNumberFormat="1" applyFont="1" applyBorder="1" applyAlignment="1">
      <alignment horizontal="center" readingOrder="1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 readingOrder="1"/>
    </xf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4" fontId="5" fillId="0" borderId="0" xfId="0" applyNumberFormat="1" applyFont="1" applyBorder="1" applyAlignment="1">
      <alignment horizontal="center" readingOrder="1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G16"/>
    </sheetView>
  </sheetViews>
  <sheetFormatPr defaultRowHeight="14.4"/>
  <cols>
    <col min="1" max="1" width="18.88671875" customWidth="1"/>
    <col min="2" max="2" width="17.6640625" customWidth="1"/>
    <col min="3" max="3" width="13.44140625" customWidth="1"/>
    <col min="4" max="4" width="12.6640625" customWidth="1"/>
    <col min="5" max="5" width="13.44140625" customWidth="1"/>
    <col min="6" max="6" width="14.88671875" customWidth="1"/>
    <col min="7" max="7" width="18.88671875" customWidth="1"/>
    <col min="8" max="8" width="18.3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</row>
    <row r="2" spans="1:8">
      <c r="A2" s="2" t="s">
        <v>7</v>
      </c>
      <c r="B2" s="2" t="s">
        <v>8</v>
      </c>
      <c r="C2" s="2" t="s">
        <v>9</v>
      </c>
      <c r="D2" s="2">
        <v>5000</v>
      </c>
      <c r="E2" s="3">
        <v>46032</v>
      </c>
      <c r="F2" s="2" t="s">
        <v>10</v>
      </c>
      <c r="G2" s="2" t="s">
        <v>11</v>
      </c>
    </row>
    <row r="3" spans="1:8">
      <c r="A3" s="2" t="s">
        <v>12</v>
      </c>
      <c r="B3" s="2" t="s">
        <v>13</v>
      </c>
      <c r="C3" s="2" t="s">
        <v>14</v>
      </c>
      <c r="D3" s="2">
        <v>1200</v>
      </c>
      <c r="E3" s="3">
        <v>46034</v>
      </c>
      <c r="F3" s="2" t="s">
        <v>10</v>
      </c>
      <c r="G3" s="2" t="s">
        <v>15</v>
      </c>
    </row>
    <row r="4" spans="1:8">
      <c r="A4" s="2" t="s">
        <v>7</v>
      </c>
      <c r="B4" s="2" t="s">
        <v>8</v>
      </c>
      <c r="C4" s="2" t="s">
        <v>9</v>
      </c>
      <c r="D4" s="2">
        <v>5000</v>
      </c>
      <c r="E4" s="3">
        <v>46032</v>
      </c>
      <c r="F4" s="2" t="s">
        <v>10</v>
      </c>
      <c r="G4" s="2" t="s">
        <v>15</v>
      </c>
    </row>
    <row r="5" spans="1:8">
      <c r="A5" s="2" t="s">
        <v>16</v>
      </c>
      <c r="B5" s="2" t="s">
        <v>17</v>
      </c>
      <c r="C5" s="2" t="s">
        <v>18</v>
      </c>
      <c r="D5" s="2">
        <v>350</v>
      </c>
      <c r="E5" s="3">
        <v>46037</v>
      </c>
      <c r="F5" s="2" t="s">
        <v>19</v>
      </c>
      <c r="G5" s="2" t="s">
        <v>11</v>
      </c>
    </row>
    <row r="6" spans="1:8">
      <c r="A6" s="2" t="s">
        <v>20</v>
      </c>
      <c r="B6" s="2" t="s">
        <v>21</v>
      </c>
      <c r="C6" s="2" t="s">
        <v>22</v>
      </c>
      <c r="D6" s="2">
        <v>890</v>
      </c>
      <c r="E6" s="3">
        <v>46040</v>
      </c>
      <c r="F6" s="2" t="s">
        <v>10</v>
      </c>
      <c r="G6" s="2" t="s">
        <v>11</v>
      </c>
    </row>
    <row r="7" spans="1:8">
      <c r="A7" s="2" t="s">
        <v>16</v>
      </c>
      <c r="B7" s="2" t="s">
        <v>23</v>
      </c>
      <c r="C7" s="2" t="s">
        <v>18</v>
      </c>
      <c r="D7" s="2">
        <v>350</v>
      </c>
      <c r="E7" s="3">
        <v>46037</v>
      </c>
      <c r="F7" s="2" t="s">
        <v>19</v>
      </c>
      <c r="G7" s="2" t="s">
        <v>11</v>
      </c>
    </row>
    <row r="8" spans="1:8">
      <c r="A8" s="2" t="s">
        <v>24</v>
      </c>
      <c r="B8" s="2" t="s">
        <v>25</v>
      </c>
      <c r="C8" s="2" t="s">
        <v>26</v>
      </c>
      <c r="D8" s="2">
        <v>1500</v>
      </c>
      <c r="E8" s="3">
        <v>46042</v>
      </c>
      <c r="F8" s="2" t="s">
        <v>27</v>
      </c>
      <c r="G8" s="2" t="s">
        <v>11</v>
      </c>
    </row>
    <row r="9" spans="1:8">
      <c r="A9" s="2" t="s">
        <v>24</v>
      </c>
      <c r="B9" s="2" t="s">
        <v>25</v>
      </c>
      <c r="C9" s="2" t="s">
        <v>26</v>
      </c>
      <c r="D9" s="2">
        <v>1500</v>
      </c>
      <c r="E9" s="3">
        <v>46073</v>
      </c>
      <c r="F9" s="2" t="s">
        <v>27</v>
      </c>
      <c r="G9" s="2" t="s">
        <v>11</v>
      </c>
    </row>
    <row r="10" spans="1:8">
      <c r="A10" s="2" t="s">
        <v>28</v>
      </c>
      <c r="B10" s="2" t="s">
        <v>29</v>
      </c>
      <c r="C10" s="2" t="s">
        <v>30</v>
      </c>
      <c r="D10" s="2">
        <v>220</v>
      </c>
      <c r="E10" s="3">
        <v>46044</v>
      </c>
      <c r="F10" s="2" t="s">
        <v>10</v>
      </c>
      <c r="G10" s="2" t="s">
        <v>11</v>
      </c>
    </row>
    <row r="11" spans="1:8">
      <c r="A11" s="2" t="s">
        <v>28</v>
      </c>
      <c r="B11" s="2" t="s">
        <v>29</v>
      </c>
      <c r="C11" s="2" t="s">
        <v>30</v>
      </c>
      <c r="D11" s="2">
        <v>220</v>
      </c>
      <c r="E11" s="3">
        <v>46044</v>
      </c>
      <c r="F11" s="4" t="s">
        <v>31</v>
      </c>
      <c r="G11" s="2" t="s">
        <v>11</v>
      </c>
    </row>
    <row r="12" spans="1:8">
      <c r="A12" s="2" t="s">
        <v>32</v>
      </c>
      <c r="B12" s="2" t="s">
        <v>33</v>
      </c>
      <c r="C12" s="2" t="s">
        <v>34</v>
      </c>
      <c r="D12" s="2">
        <v>180</v>
      </c>
      <c r="E12" s="3">
        <v>46047</v>
      </c>
      <c r="F12" s="2" t="s">
        <v>10</v>
      </c>
      <c r="G12" s="2" t="s">
        <v>11</v>
      </c>
    </row>
    <row r="13" spans="1:8">
      <c r="A13" s="2" t="s">
        <v>32</v>
      </c>
      <c r="B13" s="2" t="s">
        <v>33</v>
      </c>
      <c r="C13" s="2" t="s">
        <v>34</v>
      </c>
      <c r="D13" s="2">
        <v>180</v>
      </c>
      <c r="E13" s="3">
        <v>46047</v>
      </c>
      <c r="F13" s="2" t="s">
        <v>10</v>
      </c>
      <c r="G13" s="2" t="s">
        <v>11</v>
      </c>
    </row>
    <row r="14" spans="1:8">
      <c r="A14" s="2" t="s">
        <v>35</v>
      </c>
      <c r="B14" s="2" t="s">
        <v>36</v>
      </c>
      <c r="C14" s="2" t="s">
        <v>37</v>
      </c>
      <c r="D14" s="2">
        <v>2200</v>
      </c>
      <c r="E14" s="3">
        <v>46050</v>
      </c>
      <c r="F14" s="2" t="s">
        <v>10</v>
      </c>
      <c r="G14" s="2" t="s">
        <v>11</v>
      </c>
    </row>
    <row r="15" spans="1:8">
      <c r="A15" s="2" t="s">
        <v>38</v>
      </c>
      <c r="B15" s="2" t="s">
        <v>39</v>
      </c>
      <c r="C15" s="2" t="s">
        <v>40</v>
      </c>
      <c r="D15" s="2">
        <v>95</v>
      </c>
      <c r="E15" s="3">
        <v>46054</v>
      </c>
      <c r="F15" s="2" t="s">
        <v>10</v>
      </c>
      <c r="G15" s="2" t="s">
        <v>15</v>
      </c>
    </row>
    <row r="16" spans="1:8">
      <c r="A16" s="2" t="s">
        <v>38</v>
      </c>
      <c r="B16" s="2" t="s">
        <v>39</v>
      </c>
      <c r="C16" s="2" t="s">
        <v>40</v>
      </c>
      <c r="D16" s="2">
        <v>95</v>
      </c>
      <c r="E16" s="3">
        <v>46054</v>
      </c>
      <c r="F16" s="2" t="s">
        <v>10</v>
      </c>
      <c r="G1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031A-492F-4E09-A239-14DBA580C5CD}">
  <dimension ref="A1:AE34"/>
  <sheetViews>
    <sheetView tabSelected="1" zoomScale="98" workbookViewId="0">
      <selection activeCell="R19" sqref="A1:XFD1048576"/>
    </sheetView>
  </sheetViews>
  <sheetFormatPr defaultRowHeight="14.4"/>
  <cols>
    <col min="1" max="1" width="18.33203125" customWidth="1"/>
    <col min="2" max="2" width="17.88671875" customWidth="1"/>
    <col min="3" max="3" width="16" customWidth="1"/>
    <col min="4" max="4" width="15.44140625" customWidth="1"/>
    <col min="5" max="5" width="16.44140625" customWidth="1"/>
    <col min="6" max="6" width="18.33203125" customWidth="1"/>
    <col min="7" max="7" width="17.5546875" customWidth="1"/>
    <col min="8" max="8" width="24.109375" customWidth="1"/>
    <col min="9" max="9" width="47.109375" customWidth="1"/>
    <col min="10" max="10" width="17.44140625" customWidth="1"/>
    <col min="11" max="11" width="13" customWidth="1"/>
    <col min="12" max="12" width="19.109375" customWidth="1"/>
    <col min="13" max="13" width="13.6640625" customWidth="1"/>
    <col min="14" max="14" width="18.5546875" customWidth="1"/>
    <col min="15" max="15" width="14.109375" customWidth="1"/>
    <col min="18" max="18" width="15.33203125" customWidth="1"/>
    <col min="26" max="26" width="17.33203125" customWidth="1"/>
    <col min="27" max="27" width="20" customWidth="1"/>
    <col min="28" max="28" width="19.44140625" customWidth="1"/>
    <col min="29" max="29" width="12.44140625" customWidth="1"/>
    <col min="31" max="31" width="16.109375" customWidth="1"/>
    <col min="32" max="32" width="14.21875" customWidth="1"/>
  </cols>
  <sheetData>
    <row r="1" spans="1:31" ht="15.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41</v>
      </c>
      <c r="I1" s="11" t="s">
        <v>42</v>
      </c>
      <c r="J1" s="12" t="s">
        <v>43</v>
      </c>
      <c r="K1" s="13" t="s">
        <v>44</v>
      </c>
      <c r="L1" s="11" t="s">
        <v>45</v>
      </c>
      <c r="M1" s="14" t="s">
        <v>46</v>
      </c>
      <c r="N1" s="14"/>
      <c r="O1" s="14"/>
      <c r="P1" s="14"/>
      <c r="Q1" s="14"/>
      <c r="R1" s="14"/>
      <c r="S1" s="14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>
      <c r="A2" s="15" t="s">
        <v>7</v>
      </c>
      <c r="B2" s="15" t="s">
        <v>8</v>
      </c>
      <c r="C2" s="15" t="s">
        <v>9</v>
      </c>
      <c r="D2" s="15">
        <v>5000</v>
      </c>
      <c r="E2" s="16">
        <v>46032</v>
      </c>
      <c r="F2" s="15" t="s">
        <v>10</v>
      </c>
      <c r="G2" s="15" t="s">
        <v>11</v>
      </c>
      <c r="H2" s="17" t="s">
        <v>47</v>
      </c>
      <c r="I2" s="7" t="str">
        <f>_xlfn.CONCAT(A2, B2, C2, D2, E2)</f>
        <v>T-1001Ali Al-QahtaniLaptop Pro500046032</v>
      </c>
      <c r="J2" s="7" t="b">
        <f>COUNTIF($I$2:$I$16,I2)&gt;1</f>
        <v>1</v>
      </c>
      <c r="K2" s="17">
        <f>COUNTIF($A$2:$A$16,A2)</f>
        <v>2</v>
      </c>
      <c r="L2" s="17" t="str">
        <f>IF(K2&gt;1,"High Risk","Clean")</f>
        <v>High Risk</v>
      </c>
      <c r="M2" s="17" t="str" cm="1">
        <f t="array" ref="M2:S15">_xlfn.UNIQUE(A2:G16)</f>
        <v>T-1001</v>
      </c>
      <c r="N2" s="17" t="str">
        <v>Ali Al-Qahtani</v>
      </c>
      <c r="O2" s="17" t="str">
        <v>Laptop Pro</v>
      </c>
      <c r="P2" s="17">
        <v>5000</v>
      </c>
      <c r="Q2" s="17">
        <v>46032</v>
      </c>
      <c r="R2" s="17" t="str">
        <v>Completed</v>
      </c>
      <c r="S2" s="17" t="str">
        <v>CRM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>
      <c r="A3" s="15" t="s">
        <v>12</v>
      </c>
      <c r="B3" s="15" t="s">
        <v>13</v>
      </c>
      <c r="C3" s="15" t="s">
        <v>14</v>
      </c>
      <c r="D3" s="15">
        <v>1200</v>
      </c>
      <c r="E3" s="16">
        <v>46034</v>
      </c>
      <c r="F3" s="15" t="s">
        <v>10</v>
      </c>
      <c r="G3" s="15" t="s">
        <v>15</v>
      </c>
      <c r="H3" s="17" t="s">
        <v>48</v>
      </c>
      <c r="I3" s="7" t="str">
        <f t="shared" ref="I3:I15" si="0">_xlfn.CONCAT(A3, B3, C3, D3, E3)</f>
        <v>T-1002Sara Bin MohammedOffice Chair120046034</v>
      </c>
      <c r="J3" s="7" t="b">
        <f t="shared" ref="J3:J16" si="1">COUNTIF($I$2:$I$16,I3)&gt;1</f>
        <v>0</v>
      </c>
      <c r="K3" s="17">
        <f t="shared" ref="K3:K16" si="2">COUNTIF($A$2:$A$16,A3)</f>
        <v>1</v>
      </c>
      <c r="L3" s="17" t="str">
        <f t="shared" ref="L3:L16" si="3">IF(K3&gt;1,"High Risk","Clean")</f>
        <v>Clean</v>
      </c>
      <c r="M3" s="17" t="str">
        <v>T-1002</v>
      </c>
      <c r="N3" s="17" t="str">
        <v>Sara Bin Mohammed</v>
      </c>
      <c r="O3" s="17" t="str">
        <v>Office Chair</v>
      </c>
      <c r="P3" s="17">
        <v>1200</v>
      </c>
      <c r="Q3" s="17">
        <v>46034</v>
      </c>
      <c r="R3" s="17" t="str">
        <v>Completed</v>
      </c>
      <c r="S3" s="17" t="str">
        <v>ERP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15" t="s">
        <v>7</v>
      </c>
      <c r="B4" s="15" t="s">
        <v>8</v>
      </c>
      <c r="C4" s="15" t="s">
        <v>9</v>
      </c>
      <c r="D4" s="15">
        <v>5000</v>
      </c>
      <c r="E4" s="16">
        <v>46032</v>
      </c>
      <c r="F4" s="15" t="s">
        <v>10</v>
      </c>
      <c r="G4" s="15" t="s">
        <v>15</v>
      </c>
      <c r="H4" s="17" t="s">
        <v>47</v>
      </c>
      <c r="I4" s="7" t="str">
        <f t="shared" si="0"/>
        <v>T-1001Ali Al-QahtaniLaptop Pro500046032</v>
      </c>
      <c r="J4" s="7" t="b">
        <f t="shared" si="1"/>
        <v>1</v>
      </c>
      <c r="K4" s="17">
        <f t="shared" si="2"/>
        <v>2</v>
      </c>
      <c r="L4" s="17" t="str">
        <f t="shared" si="3"/>
        <v>High Risk</v>
      </c>
      <c r="M4" s="17" t="str">
        <v>T-1001</v>
      </c>
      <c r="N4" s="17" t="str">
        <v>Ali Al-Qahtani</v>
      </c>
      <c r="O4" s="17" t="str">
        <v>Laptop Pro</v>
      </c>
      <c r="P4" s="17">
        <v>5000</v>
      </c>
      <c r="Q4" s="17">
        <v>46032</v>
      </c>
      <c r="R4" s="17" t="str">
        <v>Completed</v>
      </c>
      <c r="S4" s="17" t="str">
        <v>ERP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>
      <c r="A5" s="15" t="s">
        <v>16</v>
      </c>
      <c r="B5" s="15" t="s">
        <v>17</v>
      </c>
      <c r="C5" s="15" t="s">
        <v>18</v>
      </c>
      <c r="D5" s="15">
        <v>350</v>
      </c>
      <c r="E5" s="16">
        <v>46037</v>
      </c>
      <c r="F5" s="15" t="s">
        <v>19</v>
      </c>
      <c r="G5" s="15" t="s">
        <v>11</v>
      </c>
      <c r="H5" s="17" t="s">
        <v>49</v>
      </c>
      <c r="I5" s="7" t="str">
        <f t="shared" si="0"/>
        <v>T-1003Khalid Al-OtaibiHeadphones35046037</v>
      </c>
      <c r="J5" s="7" t="b">
        <f t="shared" si="1"/>
        <v>0</v>
      </c>
      <c r="K5" s="17">
        <f t="shared" si="2"/>
        <v>2</v>
      </c>
      <c r="L5" s="17" t="str">
        <f t="shared" si="3"/>
        <v>High Risk</v>
      </c>
      <c r="M5" s="17" t="str">
        <v>T-1003</v>
      </c>
      <c r="N5" s="17" t="str">
        <v>Khalid Al-Otaibi</v>
      </c>
      <c r="O5" s="17" t="str">
        <v>Headphones</v>
      </c>
      <c r="P5" s="17">
        <v>350</v>
      </c>
      <c r="Q5" s="17">
        <v>46037</v>
      </c>
      <c r="R5" s="17" t="str">
        <v>Pending</v>
      </c>
      <c r="S5" s="17" t="str">
        <v>CRM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>
      <c r="A6" s="15" t="s">
        <v>20</v>
      </c>
      <c r="B6" s="15" t="s">
        <v>21</v>
      </c>
      <c r="C6" s="15" t="s">
        <v>22</v>
      </c>
      <c r="D6" s="15">
        <v>890</v>
      </c>
      <c r="E6" s="16">
        <v>46040</v>
      </c>
      <c r="F6" s="15" t="s">
        <v>10</v>
      </c>
      <c r="G6" s="15" t="s">
        <v>11</v>
      </c>
      <c r="H6" s="17" t="s">
        <v>48</v>
      </c>
      <c r="I6" s="7" t="str">
        <f t="shared" si="0"/>
        <v>T-1004Nora Al-HarbiSmart Watch89046040</v>
      </c>
      <c r="J6" s="7" t="b">
        <f t="shared" si="1"/>
        <v>0</v>
      </c>
      <c r="K6" s="17">
        <f t="shared" si="2"/>
        <v>1</v>
      </c>
      <c r="L6" s="17" t="str">
        <f t="shared" si="3"/>
        <v>Clean</v>
      </c>
      <c r="M6" s="17" t="str">
        <v>T-1004</v>
      </c>
      <c r="N6" s="17" t="str">
        <v>Nora Al-Harbi</v>
      </c>
      <c r="O6" s="17" t="str">
        <v>Smart Watch</v>
      </c>
      <c r="P6" s="17">
        <v>890</v>
      </c>
      <c r="Q6" s="17">
        <v>46040</v>
      </c>
      <c r="R6" s="17" t="str">
        <v>Completed</v>
      </c>
      <c r="S6" s="17" t="str">
        <v>CRM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>
      <c r="A7" s="15" t="s">
        <v>16</v>
      </c>
      <c r="B7" s="15" t="s">
        <v>23</v>
      </c>
      <c r="C7" s="15" t="s">
        <v>18</v>
      </c>
      <c r="D7" s="15">
        <v>350</v>
      </c>
      <c r="E7" s="16">
        <v>46037</v>
      </c>
      <c r="F7" s="15" t="s">
        <v>19</v>
      </c>
      <c r="G7" s="15" t="s">
        <v>11</v>
      </c>
      <c r="H7" s="17" t="s">
        <v>49</v>
      </c>
      <c r="I7" s="7" t="str">
        <f t="shared" si="0"/>
        <v>T-1003Khalid AlotaibiHeadphones35046037</v>
      </c>
      <c r="J7" s="7" t="b">
        <f t="shared" si="1"/>
        <v>0</v>
      </c>
      <c r="K7" s="17">
        <f t="shared" si="2"/>
        <v>2</v>
      </c>
      <c r="L7" s="17" t="str">
        <f t="shared" si="3"/>
        <v>High Risk</v>
      </c>
      <c r="M7" s="17" t="str">
        <v>T-1003</v>
      </c>
      <c r="N7" s="17" t="str">
        <v>Khalid Alotaibi</v>
      </c>
      <c r="O7" s="17" t="str">
        <v>Headphones</v>
      </c>
      <c r="P7" s="17">
        <v>350</v>
      </c>
      <c r="Q7" s="17">
        <v>46037</v>
      </c>
      <c r="R7" s="17" t="str">
        <v>Pending</v>
      </c>
      <c r="S7" s="17" t="str">
        <v>CRM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>
      <c r="A8" s="15" t="s">
        <v>24</v>
      </c>
      <c r="B8" s="15" t="s">
        <v>25</v>
      </c>
      <c r="C8" s="15" t="s">
        <v>26</v>
      </c>
      <c r="D8" s="15">
        <v>1500</v>
      </c>
      <c r="E8" s="16">
        <v>46042</v>
      </c>
      <c r="F8" s="15" t="s">
        <v>27</v>
      </c>
      <c r="G8" s="15" t="s">
        <v>11</v>
      </c>
      <c r="H8" s="17" t="s">
        <v>50</v>
      </c>
      <c r="I8" s="7" t="str">
        <f t="shared" si="0"/>
        <v>T-1005Faisal Al-DosariPrinter150046042</v>
      </c>
      <c r="J8" s="7" t="b">
        <f t="shared" si="1"/>
        <v>0</v>
      </c>
      <c r="K8" s="17">
        <f t="shared" si="2"/>
        <v>2</v>
      </c>
      <c r="L8" s="17" t="str">
        <f t="shared" si="3"/>
        <v>High Risk</v>
      </c>
      <c r="M8" s="17" t="str">
        <v>T-1005</v>
      </c>
      <c r="N8" s="17" t="str">
        <v>Faisal Al-Dosari</v>
      </c>
      <c r="O8" s="17" t="str">
        <v>Printer</v>
      </c>
      <c r="P8" s="17">
        <v>1500</v>
      </c>
      <c r="Q8" s="17">
        <v>46042</v>
      </c>
      <c r="R8" s="17" t="str">
        <v>Refunded</v>
      </c>
      <c r="S8" s="17" t="str">
        <v>CRM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>
      <c r="A9" s="15" t="s">
        <v>24</v>
      </c>
      <c r="B9" s="15" t="s">
        <v>25</v>
      </c>
      <c r="C9" s="15" t="s">
        <v>26</v>
      </c>
      <c r="D9" s="15">
        <v>1500</v>
      </c>
      <c r="E9" s="16">
        <v>46073</v>
      </c>
      <c r="F9" s="15" t="s">
        <v>27</v>
      </c>
      <c r="G9" s="15" t="s">
        <v>11</v>
      </c>
      <c r="H9" s="17" t="s">
        <v>50</v>
      </c>
      <c r="I9" s="7" t="str">
        <f t="shared" si="0"/>
        <v>T-1005Faisal Al-DosariPrinter150046073</v>
      </c>
      <c r="J9" s="7" t="b">
        <f t="shared" si="1"/>
        <v>0</v>
      </c>
      <c r="K9" s="17">
        <f t="shared" si="2"/>
        <v>2</v>
      </c>
      <c r="L9" s="17" t="str">
        <f t="shared" si="3"/>
        <v>High Risk</v>
      </c>
      <c r="M9" s="17" t="str">
        <v>T-1005</v>
      </c>
      <c r="N9" s="17" t="str">
        <v>Faisal Al-Dosari</v>
      </c>
      <c r="O9" s="17" t="str">
        <v>Printer</v>
      </c>
      <c r="P9" s="17">
        <v>1500</v>
      </c>
      <c r="Q9" s="17">
        <v>46073</v>
      </c>
      <c r="R9" s="17" t="str">
        <v>Refunded</v>
      </c>
      <c r="S9" s="17" t="str">
        <v>CRM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>
      <c r="A10" s="15" t="s">
        <v>28</v>
      </c>
      <c r="B10" s="15" t="s">
        <v>29</v>
      </c>
      <c r="C10" s="15" t="s">
        <v>30</v>
      </c>
      <c r="D10" s="15">
        <v>220</v>
      </c>
      <c r="E10" s="16">
        <v>46044</v>
      </c>
      <c r="F10" s="15" t="s">
        <v>10</v>
      </c>
      <c r="G10" s="15" t="s">
        <v>11</v>
      </c>
      <c r="H10" s="17" t="s">
        <v>51</v>
      </c>
      <c r="I10" s="7" t="str">
        <f t="shared" si="0"/>
        <v>T-1006Maha Al-ShehriKeyboard22046044</v>
      </c>
      <c r="J10" s="7" t="b">
        <f t="shared" si="1"/>
        <v>1</v>
      </c>
      <c r="K10" s="17">
        <f t="shared" si="2"/>
        <v>2</v>
      </c>
      <c r="L10" s="17" t="str">
        <f t="shared" si="3"/>
        <v>High Risk</v>
      </c>
      <c r="M10" s="17" t="str">
        <v>T-1006</v>
      </c>
      <c r="N10" s="17" t="str">
        <v>Maha Al-Shehri</v>
      </c>
      <c r="O10" s="17" t="str">
        <v>Keyboard</v>
      </c>
      <c r="P10" s="17">
        <v>220</v>
      </c>
      <c r="Q10" s="17">
        <v>46044</v>
      </c>
      <c r="R10" s="17" t="str">
        <v>Completed</v>
      </c>
      <c r="S10" s="17" t="str">
        <v>CRM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>
      <c r="A11" s="15" t="s">
        <v>28</v>
      </c>
      <c r="B11" s="15" t="s">
        <v>29</v>
      </c>
      <c r="C11" s="15" t="s">
        <v>30</v>
      </c>
      <c r="D11" s="15">
        <v>220</v>
      </c>
      <c r="E11" s="16">
        <v>46044</v>
      </c>
      <c r="F11" s="18" t="s">
        <v>31</v>
      </c>
      <c r="G11" s="15" t="s">
        <v>11</v>
      </c>
      <c r="H11" s="17" t="s">
        <v>51</v>
      </c>
      <c r="I11" s="7" t="str">
        <f t="shared" si="0"/>
        <v>T-1006Maha Al-ShehriKeyboard22046044</v>
      </c>
      <c r="J11" s="7" t="b">
        <f t="shared" si="1"/>
        <v>1</v>
      </c>
      <c r="K11" s="17">
        <f t="shared" si="2"/>
        <v>2</v>
      </c>
      <c r="L11" s="17" t="str">
        <f t="shared" si="3"/>
        <v>High Risk</v>
      </c>
      <c r="M11" s="17" t="str">
        <v>T-1006</v>
      </c>
      <c r="N11" s="17" t="str">
        <v>Maha Al-Shehri</v>
      </c>
      <c r="O11" s="17" t="str">
        <v>Keyboard</v>
      </c>
      <c r="P11" s="17">
        <v>220</v>
      </c>
      <c r="Q11" s="17">
        <v>46044</v>
      </c>
      <c r="R11" s="17" t="str">
        <v>(Empty)</v>
      </c>
      <c r="S11" s="17" t="str">
        <v>CRM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>
      <c r="A12" s="15" t="s">
        <v>32</v>
      </c>
      <c r="B12" s="15" t="s">
        <v>33</v>
      </c>
      <c r="C12" s="15" t="s">
        <v>34</v>
      </c>
      <c r="D12" s="15">
        <v>180</v>
      </c>
      <c r="E12" s="16">
        <v>46047</v>
      </c>
      <c r="F12" s="15" t="s">
        <v>10</v>
      </c>
      <c r="G12" s="15" t="s">
        <v>11</v>
      </c>
      <c r="H12" s="17" t="s">
        <v>52</v>
      </c>
      <c r="I12" s="7" t="str">
        <f t="shared" si="0"/>
        <v>T-1007Omar Bin LadenWebcam18046047</v>
      </c>
      <c r="J12" s="7" t="b">
        <f t="shared" si="1"/>
        <v>1</v>
      </c>
      <c r="K12" s="17">
        <f t="shared" si="2"/>
        <v>2</v>
      </c>
      <c r="L12" s="17" t="str">
        <f t="shared" si="3"/>
        <v>High Risk</v>
      </c>
      <c r="M12" s="17" t="str">
        <v>T-1007</v>
      </c>
      <c r="N12" s="17" t="str">
        <v>Omar Bin Laden</v>
      </c>
      <c r="O12" s="17" t="str">
        <v>Webcam</v>
      </c>
      <c r="P12" s="17">
        <v>180</v>
      </c>
      <c r="Q12" s="17">
        <v>46047</v>
      </c>
      <c r="R12" s="17" t="str">
        <v>Completed</v>
      </c>
      <c r="S12" s="17" t="str">
        <v>CRM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>
      <c r="A13" s="15" t="s">
        <v>32</v>
      </c>
      <c r="B13" s="15" t="s">
        <v>33</v>
      </c>
      <c r="C13" s="15" t="s">
        <v>34</v>
      </c>
      <c r="D13" s="15">
        <v>180</v>
      </c>
      <c r="E13" s="16">
        <v>46047</v>
      </c>
      <c r="F13" s="15" t="s">
        <v>10</v>
      </c>
      <c r="G13" s="15" t="s">
        <v>11</v>
      </c>
      <c r="H13" s="17" t="s">
        <v>52</v>
      </c>
      <c r="I13" s="7" t="str">
        <f t="shared" si="0"/>
        <v>T-1007Omar Bin LadenWebcam18046047</v>
      </c>
      <c r="J13" s="7" t="b">
        <f t="shared" si="1"/>
        <v>1</v>
      </c>
      <c r="K13" s="17">
        <f t="shared" si="2"/>
        <v>2</v>
      </c>
      <c r="L13" s="17" t="str">
        <f t="shared" si="3"/>
        <v>High Risk</v>
      </c>
      <c r="M13" s="17" t="str">
        <v>T-1008</v>
      </c>
      <c r="N13" s="17" t="str">
        <v>Reem Al-Zahrani</v>
      </c>
      <c r="O13" s="17" t="str">
        <v>Monitor</v>
      </c>
      <c r="P13" s="17">
        <v>2200</v>
      </c>
      <c r="Q13" s="17">
        <v>46050</v>
      </c>
      <c r="R13" s="17" t="str">
        <v>Completed</v>
      </c>
      <c r="S13" s="17" t="str">
        <v>CRM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>
      <c r="A14" s="15" t="s">
        <v>35</v>
      </c>
      <c r="B14" s="15" t="s">
        <v>36</v>
      </c>
      <c r="C14" s="15" t="s">
        <v>37</v>
      </c>
      <c r="D14" s="15">
        <v>2200</v>
      </c>
      <c r="E14" s="16">
        <v>46050</v>
      </c>
      <c r="F14" s="15" t="s">
        <v>10</v>
      </c>
      <c r="G14" s="15" t="s">
        <v>11</v>
      </c>
      <c r="H14" s="17" t="s">
        <v>48</v>
      </c>
      <c r="I14" s="7" t="str">
        <f t="shared" si="0"/>
        <v>T-1008Reem Al-ZahraniMonitor220046050</v>
      </c>
      <c r="J14" s="7" t="b">
        <f t="shared" si="1"/>
        <v>0</v>
      </c>
      <c r="K14" s="17">
        <f t="shared" si="2"/>
        <v>1</v>
      </c>
      <c r="L14" s="17" t="str">
        <f t="shared" si="3"/>
        <v>Clean</v>
      </c>
      <c r="M14" s="17" t="str">
        <v>T-1009</v>
      </c>
      <c r="N14" s="17" t="str">
        <v>Badr Al-Mutairi</v>
      </c>
      <c r="O14" s="17" t="str">
        <v>USB Hub</v>
      </c>
      <c r="P14" s="17">
        <v>95</v>
      </c>
      <c r="Q14" s="17">
        <v>46054</v>
      </c>
      <c r="R14" s="17" t="str">
        <v>Completed</v>
      </c>
      <c r="S14" s="17" t="str">
        <v>ERP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>
      <c r="A15" s="15" t="s">
        <v>38</v>
      </c>
      <c r="B15" s="15" t="s">
        <v>39</v>
      </c>
      <c r="C15" s="15" t="s">
        <v>40</v>
      </c>
      <c r="D15" s="15">
        <v>95</v>
      </c>
      <c r="E15" s="16">
        <v>46054</v>
      </c>
      <c r="F15" s="15" t="s">
        <v>10</v>
      </c>
      <c r="G15" s="15" t="s">
        <v>15</v>
      </c>
      <c r="H15" s="17" t="s">
        <v>47</v>
      </c>
      <c r="I15" s="7" t="str">
        <f t="shared" si="0"/>
        <v>T-1009Badr Al-MutairiUSB Hub9546054</v>
      </c>
      <c r="J15" s="7" t="b">
        <f t="shared" si="1"/>
        <v>1</v>
      </c>
      <c r="K15" s="17">
        <f t="shared" si="2"/>
        <v>2</v>
      </c>
      <c r="L15" s="17" t="str">
        <f t="shared" si="3"/>
        <v>High Risk</v>
      </c>
      <c r="M15" s="17" t="str">
        <v>T-1009</v>
      </c>
      <c r="N15" s="17" t="str">
        <v>Badr Al-Mutairi</v>
      </c>
      <c r="O15" s="17" t="str">
        <v>USB Hub</v>
      </c>
      <c r="P15" s="17">
        <v>95</v>
      </c>
      <c r="Q15" s="17">
        <v>46054</v>
      </c>
      <c r="R15" s="17" t="str">
        <v>Completed</v>
      </c>
      <c r="S15" s="17" t="str">
        <v>CRM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>
      <c r="A16" s="15" t="s">
        <v>38</v>
      </c>
      <c r="B16" s="15" t="s">
        <v>39</v>
      </c>
      <c r="C16" s="15" t="s">
        <v>40</v>
      </c>
      <c r="D16" s="15">
        <v>95</v>
      </c>
      <c r="E16" s="16">
        <v>46054</v>
      </c>
      <c r="F16" s="15" t="s">
        <v>10</v>
      </c>
      <c r="G16" s="15" t="s">
        <v>11</v>
      </c>
      <c r="H16" s="17" t="s">
        <v>47</v>
      </c>
      <c r="I16" s="7" t="str">
        <f>_xlfn.CONCAT(A16, B16, C16, D16, E16)</f>
        <v>T-1009Badr Al-MutairiUSB Hub9546054</v>
      </c>
      <c r="J16" s="7" t="b">
        <f t="shared" si="1"/>
        <v>1</v>
      </c>
      <c r="K16" s="17">
        <f t="shared" si="2"/>
        <v>2</v>
      </c>
      <c r="L16" s="17" t="str">
        <f t="shared" si="3"/>
        <v>High Risk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4.4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.75" customHeight="1">
      <c r="A18" s="19" t="s">
        <v>53</v>
      </c>
      <c r="B18" s="19"/>
      <c r="C18" s="19"/>
      <c r="D18" s="19"/>
      <c r="E18" s="19"/>
      <c r="F18" s="19"/>
      <c r="G18" s="19"/>
      <c r="H18" s="7"/>
      <c r="I18" s="20" t="s">
        <v>54</v>
      </c>
      <c r="J18" s="20"/>
      <c r="K18" s="20"/>
      <c r="L18" s="20"/>
      <c r="M18" s="20"/>
      <c r="N18" s="20"/>
      <c r="O18" s="2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4.4" customHeight="1">
      <c r="A19" s="10" t="s">
        <v>0</v>
      </c>
      <c r="B19" s="10" t="s">
        <v>1</v>
      </c>
      <c r="C19" s="10" t="s">
        <v>2</v>
      </c>
      <c r="D19" s="10" t="s">
        <v>3</v>
      </c>
      <c r="E19" s="21" t="s">
        <v>4</v>
      </c>
      <c r="F19" s="10" t="s">
        <v>5</v>
      </c>
      <c r="G19" s="10" t="s">
        <v>6</v>
      </c>
      <c r="H19" s="7"/>
      <c r="I19" s="10" t="s">
        <v>0</v>
      </c>
      <c r="J19" s="10" t="s">
        <v>1</v>
      </c>
      <c r="K19" s="10" t="s">
        <v>2</v>
      </c>
      <c r="L19" s="10" t="s">
        <v>3</v>
      </c>
      <c r="M19" s="10" t="s">
        <v>4</v>
      </c>
      <c r="N19" s="10" t="s">
        <v>5</v>
      </c>
      <c r="O19" s="10" t="s">
        <v>6</v>
      </c>
      <c r="P19" s="7"/>
      <c r="Q19" s="7"/>
      <c r="R19" s="7"/>
      <c r="S19" s="6"/>
      <c r="T19" s="6"/>
      <c r="U19" s="6"/>
      <c r="V19" s="6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" customHeight="1">
      <c r="A20" s="17" t="str" cm="1">
        <f t="array" ref="A20:G27">_xlfn._xlws.FILTER(A2:G16,J2:J16=TRUE)</f>
        <v>T-1001</v>
      </c>
      <c r="B20" s="17" t="str">
        <v>Ali Al-Qahtani</v>
      </c>
      <c r="C20" s="17" t="str">
        <v>Laptop Pro</v>
      </c>
      <c r="D20" s="17">
        <v>5000</v>
      </c>
      <c r="E20" s="22">
        <v>46032</v>
      </c>
      <c r="F20" s="17" t="str">
        <v>Completed</v>
      </c>
      <c r="G20" s="17" t="str">
        <v>CRM</v>
      </c>
      <c r="H20" s="7"/>
      <c r="I20" s="17" t="str" cm="1">
        <f t="array" ref="I20:O26">_xlfn._xlws.FILTER(A2:G16,J2:J16=FALSE)</f>
        <v>T-1002</v>
      </c>
      <c r="J20" s="17" t="str">
        <v>Sara Bin Mohammed</v>
      </c>
      <c r="K20" s="17" t="str">
        <v>Office Chair</v>
      </c>
      <c r="L20" s="17">
        <v>1200</v>
      </c>
      <c r="M20" s="22">
        <v>46034</v>
      </c>
      <c r="N20" s="17" t="str">
        <v>Completed</v>
      </c>
      <c r="O20" s="17" t="str">
        <v>ERP</v>
      </c>
      <c r="P20" s="7"/>
      <c r="Q20" s="7"/>
      <c r="R20" s="7"/>
      <c r="S20" s="6"/>
      <c r="T20" s="6"/>
      <c r="U20" s="6"/>
      <c r="V20" s="6"/>
      <c r="W20" s="7"/>
      <c r="X20" s="7"/>
      <c r="Y20" s="7"/>
      <c r="Z20" s="7"/>
      <c r="AA20" s="7"/>
      <c r="AB20" s="7"/>
      <c r="AC20" s="7"/>
      <c r="AD20" s="7"/>
      <c r="AE20" s="7"/>
    </row>
    <row r="21" spans="1:31">
      <c r="A21" s="17" t="str">
        <v>T-1001</v>
      </c>
      <c r="B21" s="17" t="str">
        <v>Ali Al-Qahtani</v>
      </c>
      <c r="C21" s="17" t="str">
        <v>Laptop Pro</v>
      </c>
      <c r="D21" s="17">
        <v>5000</v>
      </c>
      <c r="E21" s="22">
        <v>46032</v>
      </c>
      <c r="F21" s="17" t="str">
        <v>Completed</v>
      </c>
      <c r="G21" s="17" t="str">
        <v>ERP</v>
      </c>
      <c r="H21" s="7"/>
      <c r="I21" s="17" t="str">
        <v>T-1003</v>
      </c>
      <c r="J21" s="17" t="str">
        <v>Khalid Al-Otaibi</v>
      </c>
      <c r="K21" s="17" t="str">
        <v>Headphones</v>
      </c>
      <c r="L21" s="17">
        <v>350</v>
      </c>
      <c r="M21" s="22">
        <v>46037</v>
      </c>
      <c r="N21" s="17" t="str">
        <v>Pending</v>
      </c>
      <c r="O21" s="17" t="str">
        <v>CRM</v>
      </c>
      <c r="P21" s="7"/>
      <c r="Q21" s="7"/>
      <c r="R21" s="7"/>
      <c r="S21" s="8"/>
      <c r="T21" s="9"/>
      <c r="U21" s="9"/>
      <c r="V21" s="9"/>
      <c r="W21" s="7"/>
      <c r="X21" s="7"/>
      <c r="Y21" s="7"/>
      <c r="Z21" s="7"/>
      <c r="AA21" s="7"/>
      <c r="AB21" s="7"/>
      <c r="AC21" s="7"/>
      <c r="AD21" s="7"/>
      <c r="AE21" s="7"/>
    </row>
    <row r="22" spans="1:31">
      <c r="A22" s="17" t="str">
        <v>T-1006</v>
      </c>
      <c r="B22" s="17" t="str">
        <v>Maha Al-Shehri</v>
      </c>
      <c r="C22" s="17" t="str">
        <v>Keyboard</v>
      </c>
      <c r="D22" s="17">
        <v>220</v>
      </c>
      <c r="E22" s="22">
        <v>46044</v>
      </c>
      <c r="F22" s="17" t="str">
        <v>Completed</v>
      </c>
      <c r="G22" s="17" t="str">
        <v>CRM</v>
      </c>
      <c r="H22" s="7"/>
      <c r="I22" s="17" t="str">
        <v>T-1004</v>
      </c>
      <c r="J22" s="17" t="str">
        <v>Nora Al-Harbi</v>
      </c>
      <c r="K22" s="17" t="str">
        <v>Smart Watch</v>
      </c>
      <c r="L22" s="17">
        <v>890</v>
      </c>
      <c r="M22" s="22">
        <v>46040</v>
      </c>
      <c r="N22" s="17" t="str">
        <v>Completed</v>
      </c>
      <c r="O22" s="17" t="str">
        <v>CRM</v>
      </c>
      <c r="P22" s="7"/>
      <c r="Q22" s="7"/>
      <c r="R22" s="7"/>
      <c r="S22" s="9"/>
      <c r="T22" s="9"/>
      <c r="U22" s="9"/>
      <c r="V22" s="9"/>
      <c r="W22" s="7"/>
      <c r="X22" s="7"/>
      <c r="Y22" s="7"/>
      <c r="Z22" s="7"/>
      <c r="AA22" s="7"/>
      <c r="AB22" s="7"/>
      <c r="AC22" s="7"/>
      <c r="AD22" s="7"/>
      <c r="AE22" s="7"/>
    </row>
    <row r="23" spans="1:31">
      <c r="A23" s="17" t="str">
        <v>T-1006</v>
      </c>
      <c r="B23" s="17" t="str">
        <v>Maha Al-Shehri</v>
      </c>
      <c r="C23" s="17" t="str">
        <v>Keyboard</v>
      </c>
      <c r="D23" s="17">
        <v>220</v>
      </c>
      <c r="E23" s="22">
        <v>46044</v>
      </c>
      <c r="F23" s="17" t="str">
        <v>(Empty)</v>
      </c>
      <c r="G23" s="17" t="str">
        <v>CRM</v>
      </c>
      <c r="H23" s="7"/>
      <c r="I23" s="17" t="str">
        <v>T-1003</v>
      </c>
      <c r="J23" s="17" t="str">
        <v>Khalid Alotaibi</v>
      </c>
      <c r="K23" s="17" t="str">
        <v>Headphones</v>
      </c>
      <c r="L23" s="17">
        <v>350</v>
      </c>
      <c r="M23" s="22">
        <v>46037</v>
      </c>
      <c r="N23" s="17" t="str">
        <v>Pending</v>
      </c>
      <c r="O23" s="17" t="str">
        <v>CRM</v>
      </c>
      <c r="P23" s="7"/>
      <c r="Q23" s="7"/>
      <c r="R23" s="7"/>
      <c r="S23" s="9"/>
      <c r="T23" s="9"/>
      <c r="U23" s="9"/>
      <c r="V23" s="9"/>
      <c r="W23" s="7"/>
      <c r="X23" s="7"/>
      <c r="Y23" s="7"/>
      <c r="Z23" s="7"/>
      <c r="AA23" s="7"/>
      <c r="AB23" s="7"/>
      <c r="AC23" s="7"/>
      <c r="AD23" s="7"/>
      <c r="AE23" s="7"/>
    </row>
    <row r="24" spans="1:31">
      <c r="A24" s="17" t="str">
        <v>T-1007</v>
      </c>
      <c r="B24" s="17" t="str">
        <v>Omar Bin Laden</v>
      </c>
      <c r="C24" s="17" t="str">
        <v>Webcam</v>
      </c>
      <c r="D24" s="17">
        <v>180</v>
      </c>
      <c r="E24" s="22">
        <v>46047</v>
      </c>
      <c r="F24" s="17" t="str">
        <v>Completed</v>
      </c>
      <c r="G24" s="17" t="str">
        <v>CRM</v>
      </c>
      <c r="H24" s="7"/>
      <c r="I24" s="17" t="str">
        <v>T-1005</v>
      </c>
      <c r="J24" s="17" t="str">
        <v>Faisal Al-Dosari</v>
      </c>
      <c r="K24" s="17" t="str">
        <v>Printer</v>
      </c>
      <c r="L24" s="17">
        <v>1500</v>
      </c>
      <c r="M24" s="22">
        <v>46042</v>
      </c>
      <c r="N24" s="17" t="str">
        <v>Refunded</v>
      </c>
      <c r="O24" s="17" t="str">
        <v>CRM</v>
      </c>
      <c r="P24" s="7"/>
      <c r="Q24" s="7"/>
      <c r="R24" s="7"/>
      <c r="S24" s="9"/>
      <c r="T24" s="9"/>
      <c r="U24" s="9"/>
      <c r="V24" s="9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" customHeight="1">
      <c r="A25" s="17" t="str">
        <v>T-1007</v>
      </c>
      <c r="B25" s="17" t="str">
        <v>Omar Bin Laden</v>
      </c>
      <c r="C25" s="17" t="str">
        <v>Webcam</v>
      </c>
      <c r="D25" s="17">
        <v>180</v>
      </c>
      <c r="E25" s="22">
        <v>46047</v>
      </c>
      <c r="F25" s="17" t="str">
        <v>Completed</v>
      </c>
      <c r="G25" s="17" t="str">
        <v>CRM</v>
      </c>
      <c r="H25" s="7"/>
      <c r="I25" s="17" t="str">
        <v>T-1005</v>
      </c>
      <c r="J25" s="17" t="str">
        <v>Faisal Al-Dosari</v>
      </c>
      <c r="K25" s="17" t="str">
        <v>Printer</v>
      </c>
      <c r="L25" s="17">
        <v>1500</v>
      </c>
      <c r="M25" s="22">
        <v>46073</v>
      </c>
      <c r="N25" s="17" t="str">
        <v>Refunded</v>
      </c>
      <c r="O25" s="17" t="str">
        <v>CRM</v>
      </c>
      <c r="P25" s="7"/>
      <c r="Q25" s="7"/>
      <c r="R25" s="7"/>
      <c r="S25" s="9"/>
      <c r="T25" s="9"/>
      <c r="U25" s="9"/>
      <c r="V25" s="9"/>
      <c r="W25" s="7"/>
      <c r="X25" s="7"/>
      <c r="Y25" s="7"/>
      <c r="Z25" s="7"/>
      <c r="AA25" s="7"/>
      <c r="AB25" s="7"/>
      <c r="AC25" s="7"/>
      <c r="AD25" s="7"/>
      <c r="AE25" s="7"/>
    </row>
    <row r="26" spans="1:31" ht="14.4" customHeight="1">
      <c r="A26" s="17" t="str">
        <v>T-1009</v>
      </c>
      <c r="B26" s="17" t="str">
        <v>Badr Al-Mutairi</v>
      </c>
      <c r="C26" s="17" t="str">
        <v>USB Hub</v>
      </c>
      <c r="D26" s="17">
        <v>95</v>
      </c>
      <c r="E26" s="22">
        <v>46054</v>
      </c>
      <c r="F26" s="17" t="str">
        <v>Completed</v>
      </c>
      <c r="G26" s="17" t="str">
        <v>ERP</v>
      </c>
      <c r="H26" s="7"/>
      <c r="I26" s="17" t="str">
        <v>T-1008</v>
      </c>
      <c r="J26" s="17" t="str">
        <v>Reem Al-Zahrani</v>
      </c>
      <c r="K26" s="17" t="str">
        <v>Monitor</v>
      </c>
      <c r="L26" s="17">
        <v>2200</v>
      </c>
      <c r="M26" s="22">
        <v>46050</v>
      </c>
      <c r="N26" s="17" t="str">
        <v>Completed</v>
      </c>
      <c r="O26" s="17" t="str">
        <v>CRM</v>
      </c>
      <c r="P26" s="7"/>
      <c r="Q26" s="7"/>
      <c r="R26" s="7"/>
      <c r="S26" s="9"/>
      <c r="T26" s="9"/>
      <c r="U26" s="9"/>
      <c r="V26" s="9"/>
      <c r="W26" s="7"/>
      <c r="X26" s="7"/>
      <c r="Y26" s="7"/>
      <c r="Z26" s="7"/>
      <c r="AA26" s="7"/>
      <c r="AB26" s="7"/>
      <c r="AC26" s="7"/>
      <c r="AD26" s="7"/>
      <c r="AE26" s="7"/>
    </row>
    <row r="27" spans="1:31" ht="14.4" customHeight="1">
      <c r="A27" s="17" t="str">
        <v>T-1009</v>
      </c>
      <c r="B27" s="17" t="str">
        <v>Badr Al-Mutairi</v>
      </c>
      <c r="C27" s="17" t="str">
        <v>USB Hub</v>
      </c>
      <c r="D27" s="17">
        <v>95</v>
      </c>
      <c r="E27" s="22">
        <v>46054</v>
      </c>
      <c r="F27" s="17" t="str">
        <v>Completed</v>
      </c>
      <c r="G27" s="17" t="str">
        <v>CRM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>
      <c r="A28" s="17"/>
      <c r="B28" s="17"/>
      <c r="C28" s="17"/>
      <c r="D28" s="17"/>
      <c r="E28" s="17"/>
      <c r="F28" s="17"/>
      <c r="G28" s="1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22.5" customHeight="1">
      <c r="S29" s="7"/>
      <c r="T29" s="7"/>
      <c r="U29" s="7"/>
      <c r="V29" s="7"/>
      <c r="W29" s="7"/>
    </row>
    <row r="30" spans="1:31">
      <c r="S30" s="7"/>
      <c r="T30" s="7"/>
      <c r="U30" s="7"/>
      <c r="V30" s="7"/>
      <c r="W30" s="7"/>
    </row>
    <row r="34" ht="14.4" customHeight="1"/>
  </sheetData>
  <mergeCells count="3">
    <mergeCell ref="M1:S1"/>
    <mergeCell ref="A18:G18"/>
    <mergeCell ref="I18:O18"/>
  </mergeCells>
  <conditionalFormatting sqref="I2:I16">
    <cfRule type="duplicateValues" dxfId="5" priority="6"/>
  </conditionalFormatting>
  <conditionalFormatting sqref="J2:J16">
    <cfRule type="containsText" dxfId="4" priority="2" operator="containsText" text="FALSE">
      <formula>NOT(ISERROR(SEARCH("FALSE",J2)))</formula>
    </cfRule>
    <cfRule type="containsText" dxfId="3" priority="3" operator="containsText" text="TRUE">
      <formula>NOT(ISERROR(SEARCH("TRUE",J2)))</formula>
    </cfRule>
  </conditionalFormatting>
  <conditionalFormatting sqref="K2:K16">
    <cfRule type="cellIs" dxfId="2" priority="1" operator="greaterThan">
      <formula>1</formula>
    </cfRule>
  </conditionalFormatting>
  <conditionalFormatting sqref="L2:L16">
    <cfRule type="containsText" dxfId="1" priority="4" operator="containsText" text="Clean">
      <formula>NOT(ISERROR(SEARCH("Clean",L2)))</formula>
    </cfRule>
    <cfRule type="containsText" dxfId="0" priority="5" operator="containsText" text="High Risk">
      <formula>NOT(ISERROR(SEARCH("High Risk",L2)))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QRZ .</dc:creator>
  <cp:keywords/>
  <dc:description/>
  <cp:lastModifiedBy>محمد جابر بن محمد عسيري</cp:lastModifiedBy>
  <cp:revision/>
  <dcterms:created xsi:type="dcterms:W3CDTF">2026-04-25T11:05:33Z</dcterms:created>
  <dcterms:modified xsi:type="dcterms:W3CDTF">2026-04-27T12:06:36Z</dcterms:modified>
  <cp:category/>
  <cp:contentStatus/>
</cp:coreProperties>
</file>